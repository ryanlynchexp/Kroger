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vings Summary" sheetId="1" state="visible" r:id="rId3"/>
    <sheet name="Vendor Streamlin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<sst xmlns="http://schemas.openxmlformats.org/spreadsheetml/2006/main" count="44" uniqueCount="44">
  <si>
    <t xml:space="preserve">Kroger | Experis Value Realization</t>
  </si>
  <si>
    <t xml:space="preserve">Cost Savings Model — Fiscal 2026</t>
  </si>
  <si>
    <t xml:space="preserve">Partnership Baseline</t>
  </si>
  <si>
    <t xml:space="preserve">Metric</t>
  </si>
  <si>
    <t xml:space="preserve">$ (millions)</t>
  </si>
  <si>
    <t xml:space="preserve">Note</t>
  </si>
  <si>
    <t xml:space="preserve">2025 Spend</t>
  </si>
  <si>
    <t xml:space="preserve">Actual</t>
  </si>
  <si>
    <t xml:space="preserve">2026 Run Rate</t>
  </si>
  <si>
    <t xml:space="preserve">Forecast</t>
  </si>
  <si>
    <t xml:space="preserve">YoY Reduction</t>
  </si>
  <si>
    <t xml:space="preserve">37% reduction</t>
  </si>
  <si>
    <t xml:space="preserve">2026 Savings Levers</t>
  </si>
  <si>
    <t xml:space="preserve">Lever</t>
  </si>
  <si>
    <t xml:space="preserve">Fiscal 2026</t>
  </si>
  <si>
    <t xml:space="preserve">Annualized</t>
  </si>
  <si>
    <t xml:space="preserve">Description</t>
  </si>
  <si>
    <t xml:space="preserve">10% Bill Rate Adjustment</t>
  </si>
  <si>
    <t xml:space="preserve">Effective Jul 26, 2026 (Jul 26 – Jan 27 fiscal impact)</t>
  </si>
  <si>
    <t xml:space="preserve">Holiday Furlough (10 days)</t>
  </si>
  <si>
    <t xml:space="preserve">10 furlough days around 2026 holiday periods</t>
  </si>
  <si>
    <t xml:space="preserve">AI &amp; Automation</t>
  </si>
  <si>
    <t xml:space="preserve">Incremental savings via automation and AI delivery</t>
  </si>
  <si>
    <t xml:space="preserve">Subtotal — Cost Efficiency + AI</t>
  </si>
  <si>
    <t xml:space="preserve">Vendor Streamlining (annualized range)</t>
  </si>
  <si>
    <t xml:space="preserve">See schedule</t>
  </si>
  <si>
    <t xml:space="preserve">Full-transition cumulative savings (310 days). Deck cites $6–13M range.</t>
  </si>
  <si>
    <t xml:space="preserve">TOTAL IDENTIFIED OPPORTUNITY (annualized)</t>
  </si>
  <si>
    <t xml:space="preserve">Notes: Blue = input assumptions, black = formulas, green = cross-sheet links. Figures per Experis Value Realization deck. Cost-efficiency annualized may differ ~$0.1M from headline due to rounding.</t>
  </si>
  <si>
    <t xml:space="preserve">Vendor Streamlining — Transition Savings Schedule</t>
  </si>
  <si>
    <t xml:space="preserve">Cumulative estimated savings to Kroger as vendor volume transitions to Experis</t>
  </si>
  <si>
    <t xml:space="preserve">Transition Milestone (days)</t>
  </si>
  <si>
    <t xml:space="preserve">Cumulative Savings</t>
  </si>
  <si>
    <t xml:space="preserve">30 days</t>
  </si>
  <si>
    <t xml:space="preserve">Assumes $85/hr average bill rate and current average mark-up factor of ~1.36.</t>
  </si>
  <si>
    <t xml:space="preserve">60 days</t>
  </si>
  <si>
    <t xml:space="preserve">90 days</t>
  </si>
  <si>
    <t xml:space="preserve">120 days</t>
  </si>
  <si>
    <t xml:space="preserve">150 days</t>
  </si>
  <si>
    <t xml:space="preserve">180 days</t>
  </si>
  <si>
    <t xml:space="preserve">210 days</t>
  </si>
  <si>
    <t xml:space="preserve">240 days</t>
  </si>
  <si>
    <t xml:space="preserve">270 days</t>
  </si>
  <si>
    <t xml:space="preserve">310 days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</si>
</sst>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(\$* #,##0.0,,\M_);_(\$* \(#,##0.0,,&quot;)M&quot;;_(\$* \-_)"/>
    <numFmt numFmtId="166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4152B"/>
      <name val="Arial"/>
      <family val="0"/>
      <charset val="1"/>
    </font>
    <font>
      <sz val="9"/>
      <color rgb="FF6B6E7F"/>
      <name val="Arial"/>
      <family val="0"/>
      <charset val="1"/>
    </font>
    <font>
      <b val="true"/>
      <sz val="10"/>
      <color rgb="FF14152B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6B6E7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4152B"/>
        <bgColor rgb="FF000000"/>
      </patternFill>
    </fill>
    <fill>
      <patternFill patternType="solid">
        <fgColor rgb="FFEEF0FB"/>
        <bgColor rgb="FFE3F1E5"/>
      </patternFill>
    </fill>
    <fill>
      <patternFill patternType="solid">
        <fgColor rgb="FF1100FF"/>
        <bgColor rgb="FF0000FF"/>
      </patternFill>
    </fill>
    <fill>
      <patternFill patternType="solid">
        <fgColor rgb="FFE3F1E5"/>
        <bgColor rgb="FFEEF0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8E5"/>
      </left>
      <right style="thin">
        <color rgb="FFD5D8E5"/>
      </right>
      <top style="thin">
        <color rgb="FFD5D8E5"/>
      </top>
      <bottom style="thin">
        <color rgb="FFD5D8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0FB"/>
      <rgbColor rgb="FFCCFFFF"/>
      <rgbColor rgb="FF660066"/>
      <rgbColor rgb="FFFF8080"/>
      <rgbColor rgb="FF0066CC"/>
      <rgbColor rgb="FFD5D8E5"/>
      <rgbColor rgb="FF000080"/>
      <rgbColor rgb="FFFF00FF"/>
      <rgbColor rgb="FFFFFF00"/>
      <rgbColor rgb="FF00FFFF"/>
      <rgbColor rgb="FF800080"/>
      <rgbColor rgb="FF800000"/>
      <rgbColor rgb="FF008080"/>
      <rgbColor rgb="FF1100FF"/>
      <rgbColor rgb="FF00CCFF"/>
      <rgbColor rgb="FFCCFFFF"/>
      <rgbColor rgb="FFE3F1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6E7F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15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18"/>
    <col collapsed="false" customWidth="true" hidden="false" outlineLevel="0" max="5" min="5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  <c r="C6" s="4" t="s">
        <v>4</v>
      </c>
      <c r="D6" s="4"/>
      <c r="E6" s="4" t="s">
        <v>5</v>
      </c>
    </row>
    <row r="7" customFormat="false" ht="15" hidden="false" customHeight="false" outlineLevel="0" collapsed="false">
      <c r="B7" s="5" t="s">
        <v>6</v>
      </c>
      <c r="C7" s="6" t="n">
        <v>32300000</v>
      </c>
      <c r="D7" s="7"/>
      <c r="E7" s="8" t="s">
        <v>7</v>
      </c>
    </row>
    <row r="8" customFormat="false" ht="15" hidden="false" customHeight="false" outlineLevel="0" collapsed="false">
      <c r="B8" s="5" t="s">
        <v>8</v>
      </c>
      <c r="C8" s="6" t="n">
        <v>20300000</v>
      </c>
      <c r="D8" s="7"/>
      <c r="E8" s="8" t="s">
        <v>9</v>
      </c>
    </row>
    <row r="9" customFormat="false" ht="15" hidden="false" customHeight="false" outlineLevel="0" collapsed="false">
      <c r="B9" s="5" t="s">
        <v>10</v>
      </c>
      <c r="C9" s="6" t="n">
        <v>12000000</v>
      </c>
      <c r="D9" s="9" t="n">
        <f aca="false">C8/C7</f>
        <v>0.628482972136223</v>
      </c>
      <c r="E9" s="8" t="s">
        <v>11</v>
      </c>
    </row>
    <row r="12" customFormat="false" ht="15" hidden="false" customHeight="false" outlineLevel="0" collapsed="false">
      <c r="B12" s="3" t="s">
        <v>12</v>
      </c>
    </row>
    <row r="13" customFormat="false" ht="15" hidden="false" customHeight="false" outlineLevel="0" collapsed="false">
      <c r="B13" s="4" t="s">
        <v>13</v>
      </c>
      <c r="C13" s="4" t="s">
        <v>14</v>
      </c>
      <c r="D13" s="4" t="s">
        <v>15</v>
      </c>
      <c r="E13" s="4" t="s">
        <v>16</v>
      </c>
    </row>
    <row r="14" customFormat="false" ht="19.4" hidden="false" customHeight="false" outlineLevel="0" collapsed="false">
      <c r="B14" s="10" t="s">
        <v>17</v>
      </c>
      <c r="C14" s="6" t="n">
        <v>1300000</v>
      </c>
      <c r="D14" s="6" t="n">
        <v>2200000</v>
      </c>
      <c r="E14" s="11" t="s">
        <v>18</v>
      </c>
    </row>
    <row r="15" customFormat="false" ht="19.4" hidden="false" customHeight="false" outlineLevel="0" collapsed="false">
      <c r="B15" s="10" t="s">
        <v>19</v>
      </c>
      <c r="C15" s="6" t="n">
        <v>800000</v>
      </c>
      <c r="D15" s="6" t="n">
        <v>800000</v>
      </c>
      <c r="E15" s="11" t="s">
        <v>20</v>
      </c>
    </row>
    <row r="16" customFormat="false" ht="19.4" hidden="false" customHeight="false" outlineLevel="0" collapsed="false">
      <c r="B16" s="10" t="s">
        <v>21</v>
      </c>
      <c r="C16" s="6" t="n">
        <v>1000000</v>
      </c>
      <c r="D16" s="6" t="n">
        <v>1000000</v>
      </c>
      <c r="E16" s="11" t="s">
        <v>22</v>
      </c>
    </row>
    <row r="17" customFormat="false" ht="15" hidden="false" customHeight="false" outlineLevel="0" collapsed="false">
      <c r="B17" s="12" t="s">
        <v>23</v>
      </c>
      <c r="C17" s="13" t="n">
        <f aca="false">SUM(C14:C16)</f>
        <v>3100000</v>
      </c>
      <c r="D17" s="13" t="n">
        <f aca="false">SUM(D14:D16)</f>
        <v>4000000</v>
      </c>
      <c r="E17" s="14"/>
    </row>
    <row r="18" customFormat="false" ht="19.4" hidden="false" customHeight="false" outlineLevel="0" collapsed="false">
      <c r="B18" s="10" t="s">
        <v>24</v>
      </c>
      <c r="C18" s="15" t="s">
        <v>25</v>
      </c>
      <c r="D18" s="16" t="n">
        <f aca="false">'Vendor Streamlining'!C13</f>
        <v>9672000</v>
      </c>
      <c r="E18" s="11" t="s">
        <v>26</v>
      </c>
    </row>
    <row r="20" customFormat="false" ht="15" hidden="false" customHeight="false" outlineLevel="0" collapsed="false">
      <c r="B20" s="17" t="s">
        <v>27</v>
      </c>
      <c r="C20" s="18"/>
      <c r="D20" s="19" t="n">
        <f aca="false">D17+D18</f>
        <v>13672000</v>
      </c>
      <c r="E20" s="18"/>
    </row>
    <row r="22" customFormat="false" ht="19.4" hidden="false" customHeight="true" outlineLevel="0" collapsed="false">
      <c r="B22" s="20" t="s">
        <v>28</v>
      </c>
      <c r="C22" s="20"/>
      <c r="D22" s="20"/>
      <c r="E22" s="20"/>
    </row>
  </sheetData>
  <mergeCells count="1">
    <mergeCell ref="B22:E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29</v>
      </c>
    </row>
    <row r="3" customFormat="false" ht="15" hidden="false" customHeight="false" outlineLevel="0" collapsed="false">
      <c r="B3" s="2" t="s">
        <v>30</v>
      </c>
    </row>
    <row r="5" customFormat="false" ht="15" hidden="false" customHeight="false" outlineLevel="0" collapsed="false">
      <c r="B5" s="4" t="s">
        <v>31</v>
      </c>
      <c r="C5" s="4" t="s">
        <v>32</v>
      </c>
    </row>
    <row r="6" customFormat="false" ht="15" hidden="false" customHeight="true" outlineLevel="0" collapsed="false">
      <c r="B6" s="21" t="s">
        <v>33</v>
      </c>
      <c r="C6" s="6" t="n">
        <v>1209000</v>
      </c>
      <c r="D6" s="20" t="s">
        <v>34</v>
      </c>
    </row>
    <row r="7" customFormat="false" ht="15" hidden="false" customHeight="false" outlineLevel="0" collapsed="false">
      <c r="B7" s="21" t="s">
        <v>35</v>
      </c>
      <c r="C7" s="6" t="n">
        <v>2418000</v>
      </c>
      <c r="D7" s="20"/>
    </row>
    <row r="8" customFormat="false" ht="15" hidden="false" customHeight="false" outlineLevel="0" collapsed="false">
      <c r="B8" s="21" t="s">
        <v>36</v>
      </c>
      <c r="C8" s="6" t="n">
        <v>3627000</v>
      </c>
      <c r="D8" s="20"/>
    </row>
    <row r="9" customFormat="false" ht="15" hidden="false" customHeight="false" outlineLevel="0" collapsed="false">
      <c r="B9" s="21" t="s">
        <v>37</v>
      </c>
      <c r="C9" s="6" t="n">
        <v>4836000</v>
      </c>
    </row>
    <row r="10" customFormat="false" ht="15" hidden="false" customHeight="false" outlineLevel="0" collapsed="false">
      <c r="B10" s="21" t="s">
        <v>38</v>
      </c>
      <c r="C10" s="6" t="n">
        <v>6045000</v>
      </c>
    </row>
    <row r="11" customFormat="false" ht="15" hidden="false" customHeight="false" outlineLevel="0" collapsed="false">
      <c r="B11" s="21" t="s">
        <v>39</v>
      </c>
      <c r="C11" s="6" t="n">
        <v>7254000</v>
      </c>
    </row>
    <row r="12" customFormat="false" ht="15" hidden="false" customHeight="false" outlineLevel="0" collapsed="false">
      <c r="B12" s="21" t="s">
        <v>40</v>
      </c>
      <c r="C12" s="6" t="n">
        <v>8463000</v>
      </c>
    </row>
    <row r="13" customFormat="false" ht="15" hidden="false" customHeight="false" outlineLevel="0" collapsed="false">
      <c r="B13" s="21" t="s">
        <v>41</v>
      </c>
      <c r="C13" s="6" t="n">
        <v>9672000</v>
      </c>
    </row>
    <row r="14" customFormat="false" ht="15" hidden="false" customHeight="false" outlineLevel="0" collapsed="false">
      <c r="B14" s="21" t="s">
        <v>42</v>
      </c>
      <c r="C14" s="6" t="n">
        <v>10881000</v>
      </c>
    </row>
    <row r="15" customFormat="false" ht="15" hidden="false" customHeight="false" outlineLevel="0" collapsed="false">
      <c r="B15" s="22" t="s">
        <v>43</v>
      </c>
      <c r="C15" s="23" t="n">
        <v>12493000</v>
      </c>
    </row>
  </sheetData>
  <mergeCells count="1">
    <mergeCell ref="D6:D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2026-06-09T17:12:51Z</dcterms:created>
  <dc:creator>openpyxl</dc:creator>
  <dc:description/>
  <dc:language>en-US</dc:language>
  <cp:lastModifiedBy/>
  <dcterms:modified xsi:type="dcterms:W3CDTF">2026-06-09T17:12:51Z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