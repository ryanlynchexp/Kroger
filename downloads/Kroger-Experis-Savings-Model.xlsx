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ryanlynch/Desktop/CLAUDE/Kroger Redux/site/downloads/"/>
    </mc:Choice>
  </mc:AlternateContent>
  <xr:revisionPtr revIDLastSave="0" documentId="13_ncr:1_{39FA1552-5DBA-8043-82F7-8FA518655CA3}" xr6:coauthVersionLast="47" xr6:coauthVersionMax="47" xr10:uidLastSave="{00000000-0000-0000-0000-000000000000}"/>
  <bookViews>
    <workbookView xWindow="0" yWindow="660" windowWidth="23260" windowHeight="13900" tabRatio="500" xr2:uid="{00000000-000D-0000-FFFF-FFFF00000000}"/>
  </bookViews>
  <sheets>
    <sheet name="Savings Summary" sheetId="1" r:id="rId1"/>
    <sheet name="Vendor Streamlinin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1" l="1"/>
  <c r="D17" i="1"/>
  <c r="C17" i="1"/>
  <c r="D20" i="1" l="1"/>
</calcChain>
</file>

<file path=xl/sharedStrings.xml><?xml version="1.0" encoding="utf-8"?>
<sst xmlns="http://schemas.openxmlformats.org/spreadsheetml/2006/main" count="36" uniqueCount="36">
  <si>
    <t>Kroger | Experis Value Realization</t>
  </si>
  <si>
    <t>Cost Savings Model — Fiscal 2026</t>
  </si>
  <si>
    <t>Partnership Baseline</t>
  </si>
  <si>
    <t>Metric</t>
  </si>
  <si>
    <t>$ (millions)</t>
  </si>
  <si>
    <t>Note</t>
  </si>
  <si>
    <t>2025 Spend</t>
  </si>
  <si>
    <t xml:space="preserve">$32.3M </t>
  </si>
  <si>
    <t>Actual</t>
  </si>
  <si>
    <t>2026 Run Rate</t>
  </si>
  <si>
    <t xml:space="preserve">$20.3M </t>
  </si>
  <si>
    <t>Forecast</t>
  </si>
  <si>
    <t>YoY Reduction</t>
  </si>
  <si>
    <t>37% reduction</t>
  </si>
  <si>
    <t>2026 Savings Levers</t>
  </si>
  <si>
    <t>Lever</t>
  </si>
  <si>
    <t>Fiscal 2026</t>
  </si>
  <si>
    <t>Annualized</t>
  </si>
  <si>
    <t>Description</t>
  </si>
  <si>
    <t>10% Bill Rate Adjustment</t>
  </si>
  <si>
    <t>Effective Jul 26, 2026 (Jul 26 – Jan 27 fiscal impact)</t>
  </si>
  <si>
    <t>Holiday Furlough (10 days)</t>
  </si>
  <si>
    <t>10 furlough days around 2026 holiday periods</t>
  </si>
  <si>
    <t>AI &amp; Automation</t>
  </si>
  <si>
    <t>Incremental savings via automation and AI delivery</t>
  </si>
  <si>
    <t>Subtotal — Cost Efficiency + AI</t>
  </si>
  <si>
    <t>Vendor Streamlining (annualized range)</t>
  </si>
  <si>
    <t>See schedule</t>
  </si>
  <si>
    <t>Full-transition cumulative savings (300 consultants). Deck cites $1–7M range.</t>
  </si>
  <si>
    <t>TOTAL IDENTIFIED OPPORTUNITY (annualized)</t>
  </si>
  <si>
    <t>Notes: Blue = input assumptions, black = formulas, green = cross-sheet links. Figures per Experis Value Realization deck. Cost-efficiency annualized may differ ~$0.1M from headline due to rounding.</t>
  </si>
  <si>
    <t>Vendor Streamlining — Transition Savings Schedule</t>
  </si>
  <si>
    <t>Cumulative estimated savings to Kroger as vendor volume transitions to Experis</t>
  </si>
  <si>
    <t>Consultants Transitioned</t>
  </si>
  <si>
    <t>Cumulative Savings</t>
  </si>
  <si>
    <t>Assumes $95/hr average bill rate and current average mark-up factor of ~1.20.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</si>
</sst>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\$* #,##0.0,,\M_);_(\$* \(#,##0.0,,&quot;)M&quot;;_(\$* \-_)"/>
    <numFmt numFmtId="166" formatCode="0.00000000000000%"/>
  </numFmts>
  <fonts count="9" x14ac:knownFonts="1">
    <font>
      <sz val="11"/>
      <color theme="1"/>
      <name val="Calibri"/>
      <family val="2"/>
      <charset val="1"/>
    </font>
    <font>
      <b/>
      <sz val="16"/>
      <color rgb="FF14152B"/>
      <name val="Arial"/>
      <family val="2"/>
    </font>
    <font>
      <sz val="9"/>
      <color rgb="FF6B6E7F"/>
      <name val="Arial"/>
      <family val="2"/>
    </font>
    <font>
      <b/>
      <sz val="10"/>
      <color rgb="FF14152B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8"/>
      <color rgb="FF6B6E7F"/>
      <name val="Arial"/>
      <family val="2"/>
    </font>
    <font>
      <sz val="10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4152B"/>
        <bgColor rgb="FF000000"/>
      </patternFill>
    </fill>
    <fill>
      <patternFill patternType="solid">
        <fgColor rgb="FFEEF0FB"/>
        <bgColor rgb="FFE3F1E5"/>
      </patternFill>
    </fill>
    <fill>
      <patternFill patternType="solid">
        <fgColor rgb="FF1100FF"/>
        <bgColor rgb="FF0000FF"/>
      </patternFill>
    </fill>
    <fill>
      <patternFill patternType="solid">
        <fgColor rgb="FFE3F1E5"/>
        <bgColor rgb="FFEEF0FB"/>
      </patternFill>
    </fill>
  </fills>
  <borders count="3">
    <border>
      <left/>
      <right/>
      <top/>
      <bottom/>
      <diagonal/>
    </border>
    <border>
      <left style="thin">
        <color rgb="FFD5D8E5"/>
      </left>
      <right style="thin">
        <color rgb="FFD5D8E5"/>
      </right>
      <top style="thin">
        <color rgb="FFD5D8E5"/>
      </top>
      <bottom style="thin">
        <color rgb="FFD5D8E5"/>
      </bottom>
      <diagonal/>
    </border>
    <border>
      <left style="thin">
        <color rgb="FFD5D8E5"/>
      </left>
      <right style="thin">
        <color rgb="FFD5D8E5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164" fontId="6" fillId="0" borderId="1" xfId="0" applyNumberFormat="1" applyFont="1" applyBorder="1" applyAlignment="1">
      <alignment horizontal="right" vertical="center"/>
    </xf>
    <xf numFmtId="0" fontId="7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/>
    <xf numFmtId="0" fontId="7" fillId="0" borderId="1" xfId="0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/>
    <xf numFmtId="0" fontId="0" fillId="4" borderId="1" xfId="0" applyFill="1" applyBorder="1"/>
    <xf numFmtId="164" fontId="4" fillId="4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166" fontId="0" fillId="0" borderId="0" xfId="0" applyNumberFormat="1"/>
    <xf numFmtId="0" fontId="6" fillId="0" borderId="1" xfId="0" applyFont="1" applyBorder="1" applyAlignment="1">
      <alignment horizontal="right" vertical="center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0FB"/>
      <rgbColor rgb="FFCCFFFF"/>
      <rgbColor rgb="FF660066"/>
      <rgbColor rgb="FFFF8080"/>
      <rgbColor rgb="FF0066CC"/>
      <rgbColor rgb="FFD5D8E5"/>
      <rgbColor rgb="FF000080"/>
      <rgbColor rgb="FFFF00FF"/>
      <rgbColor rgb="FFFFFF00"/>
      <rgbColor rgb="FF00FFFF"/>
      <rgbColor rgb="FF800080"/>
      <rgbColor rgb="FF800000"/>
      <rgbColor rgb="FF008080"/>
      <rgbColor rgb="FF1100FF"/>
      <rgbColor rgb="FF00CCFF"/>
      <rgbColor rgb="FFCCFFFF"/>
      <rgbColor rgb="FFE3F1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E7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15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2"/>
  <sheetViews>
    <sheetView showGridLines="0" tabSelected="1" zoomScaleNormal="100" workbookViewId="0">
      <selection activeCell="E5" sqref="E5"/>
    </sheetView>
  </sheetViews>
  <sheetFormatPr baseColWidth="10" defaultColWidth="8.6640625" defaultRowHeight="15" x14ac:dyDescent="0.2"/>
  <cols>
    <col min="1" max="1" width="3" customWidth="1"/>
    <col min="2" max="2" width="34" customWidth="1"/>
    <col min="3" max="4" width="18" customWidth="1"/>
    <col min="5" max="5" width="30" customWidth="1"/>
    <col min="6" max="6" width="3" customWidth="1"/>
    <col min="8" max="8" width="20.33203125" bestFit="1" customWidth="1"/>
  </cols>
  <sheetData>
    <row r="2" spans="2:7" ht="20" x14ac:dyDescent="0.2">
      <c r="B2" s="1" t="s">
        <v>0</v>
      </c>
    </row>
    <row r="3" spans="2:7" x14ac:dyDescent="0.2">
      <c r="B3" s="2" t="s">
        <v>1</v>
      </c>
    </row>
    <row r="5" spans="2:7" x14ac:dyDescent="0.2">
      <c r="B5" s="3" t="s">
        <v>2</v>
      </c>
    </row>
    <row r="6" spans="2:7" x14ac:dyDescent="0.2">
      <c r="B6" s="4" t="s">
        <v>3</v>
      </c>
      <c r="C6" s="4" t="s">
        <v>4</v>
      </c>
      <c r="D6" s="4" t="s">
        <v>5</v>
      </c>
    </row>
    <row r="7" spans="2:7" x14ac:dyDescent="0.2">
      <c r="B7" s="5" t="s">
        <v>6</v>
      </c>
      <c r="C7" s="23" t="s">
        <v>7</v>
      </c>
      <c r="D7" s="7" t="s">
        <v>8</v>
      </c>
    </row>
    <row r="8" spans="2:7" x14ac:dyDescent="0.2">
      <c r="B8" s="5" t="s">
        <v>9</v>
      </c>
      <c r="C8" s="23" t="s">
        <v>10</v>
      </c>
      <c r="D8" s="7" t="s">
        <v>11</v>
      </c>
    </row>
    <row r="9" spans="2:7" x14ac:dyDescent="0.2">
      <c r="B9" s="5" t="s">
        <v>12</v>
      </c>
      <c r="C9" s="6">
        <v>12000000</v>
      </c>
      <c r="D9" s="7" t="s">
        <v>13</v>
      </c>
      <c r="G9" s="22"/>
    </row>
    <row r="12" spans="2:7" x14ac:dyDescent="0.2">
      <c r="B12" s="3" t="s">
        <v>14</v>
      </c>
    </row>
    <row r="13" spans="2:7" x14ac:dyDescent="0.2">
      <c r="B13" s="4" t="s">
        <v>15</v>
      </c>
      <c r="C13" s="4" t="s">
        <v>16</v>
      </c>
      <c r="D13" s="4" t="s">
        <v>17</v>
      </c>
      <c r="E13" s="4" t="s">
        <v>18</v>
      </c>
    </row>
    <row r="14" spans="2:7" ht="24" x14ac:dyDescent="0.2">
      <c r="B14" s="8" t="s">
        <v>19</v>
      </c>
      <c r="C14" s="6">
        <v>1300000</v>
      </c>
      <c r="D14" s="6">
        <v>2200000</v>
      </c>
      <c r="E14" s="9" t="s">
        <v>20</v>
      </c>
    </row>
    <row r="15" spans="2:7" x14ac:dyDescent="0.2">
      <c r="B15" s="8" t="s">
        <v>21</v>
      </c>
      <c r="C15" s="6">
        <v>800000</v>
      </c>
      <c r="D15" s="6">
        <v>800000</v>
      </c>
      <c r="E15" s="9" t="s">
        <v>22</v>
      </c>
    </row>
    <row r="16" spans="2:7" x14ac:dyDescent="0.2">
      <c r="B16" s="8" t="s">
        <v>23</v>
      </c>
      <c r="C16" s="6">
        <v>1000000</v>
      </c>
      <c r="D16" s="6">
        <v>1000000</v>
      </c>
      <c r="E16" s="9" t="s">
        <v>24</v>
      </c>
    </row>
    <row r="17" spans="2:5" x14ac:dyDescent="0.2">
      <c r="B17" s="10" t="s">
        <v>25</v>
      </c>
      <c r="C17" s="11">
        <f>SUM(C14:C16)</f>
        <v>3100000</v>
      </c>
      <c r="D17" s="11">
        <f>SUM(D14:D16)</f>
        <v>4000000</v>
      </c>
      <c r="E17" s="12"/>
    </row>
    <row r="18" spans="2:5" ht="24" x14ac:dyDescent="0.2">
      <c r="B18" s="8" t="s">
        <v>26</v>
      </c>
      <c r="C18" s="13" t="s">
        <v>27</v>
      </c>
      <c r="D18" s="14">
        <f>'Vendor Streamlining'!C16</f>
        <v>7000000</v>
      </c>
      <c r="E18" s="9" t="s">
        <v>28</v>
      </c>
    </row>
    <row r="20" spans="2:5" x14ac:dyDescent="0.2">
      <c r="B20" s="15" t="s">
        <v>29</v>
      </c>
      <c r="C20" s="16"/>
      <c r="D20" s="17">
        <f>D17+D18</f>
        <v>11000000</v>
      </c>
      <c r="E20" s="16"/>
    </row>
    <row r="22" spans="2:5" ht="19.25" customHeight="1" x14ac:dyDescent="0.2">
      <c r="B22" s="24" t="s">
        <v>30</v>
      </c>
      <c r="C22" s="24"/>
      <c r="D22" s="24"/>
      <c r="E22" s="24"/>
    </row>
  </sheetData>
  <mergeCells count="1">
    <mergeCell ref="B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7"/>
  <sheetViews>
    <sheetView showGridLines="0" zoomScaleNormal="100" workbookViewId="0">
      <selection activeCell="D19" sqref="D19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3" width="22" customWidth="1"/>
    <col min="4" max="4" width="40" customWidth="1"/>
  </cols>
  <sheetData>
    <row r="2" spans="2:4" ht="20" x14ac:dyDescent="0.2">
      <c r="B2" s="1" t="s">
        <v>31</v>
      </c>
    </row>
    <row r="3" spans="2:4" x14ac:dyDescent="0.2">
      <c r="B3" s="2" t="s">
        <v>32</v>
      </c>
    </row>
    <row r="5" spans="2:4" x14ac:dyDescent="0.2">
      <c r="B5" s="4" t="s">
        <v>33</v>
      </c>
      <c r="C5" s="4" t="s">
        <v>34</v>
      </c>
    </row>
    <row r="6" spans="2:4" ht="15" customHeight="1" x14ac:dyDescent="0.2">
      <c r="B6" s="18">
        <v>50</v>
      </c>
      <c r="C6" s="6">
        <v>1154412</v>
      </c>
      <c r="D6" s="24" t="s">
        <v>35</v>
      </c>
    </row>
    <row r="7" spans="2:4" x14ac:dyDescent="0.2">
      <c r="B7" s="18">
        <v>75</v>
      </c>
      <c r="C7" s="6">
        <v>1731618</v>
      </c>
      <c r="D7" s="24"/>
    </row>
    <row r="8" spans="2:4" x14ac:dyDescent="0.2">
      <c r="B8" s="18">
        <v>100</v>
      </c>
      <c r="C8" s="6">
        <v>2308825</v>
      </c>
      <c r="D8" s="24"/>
    </row>
    <row r="9" spans="2:4" x14ac:dyDescent="0.2">
      <c r="B9" s="18">
        <v>125</v>
      </c>
      <c r="C9" s="6">
        <v>2886031</v>
      </c>
    </row>
    <row r="10" spans="2:4" x14ac:dyDescent="0.2">
      <c r="B10" s="18">
        <v>150</v>
      </c>
      <c r="C10" s="6">
        <v>3463238</v>
      </c>
    </row>
    <row r="11" spans="2:4" x14ac:dyDescent="0.2">
      <c r="B11" s="18">
        <v>175</v>
      </c>
      <c r="C11" s="6">
        <v>4040444</v>
      </c>
    </row>
    <row r="12" spans="2:4" x14ac:dyDescent="0.2">
      <c r="B12" s="18">
        <v>200</v>
      </c>
      <c r="C12" s="6">
        <v>4617650</v>
      </c>
    </row>
    <row r="13" spans="2:4" x14ac:dyDescent="0.2">
      <c r="B13" s="18">
        <v>225</v>
      </c>
      <c r="C13" s="6">
        <v>5194857</v>
      </c>
    </row>
    <row r="14" spans="2:4" x14ac:dyDescent="0.2">
      <c r="B14" s="18">
        <v>250</v>
      </c>
      <c r="C14" s="6">
        <v>5772063</v>
      </c>
    </row>
    <row r="15" spans="2:4" x14ac:dyDescent="0.2">
      <c r="B15" s="18">
        <v>275</v>
      </c>
      <c r="C15" s="6">
        <v>6349239</v>
      </c>
    </row>
    <row r="16" spans="2:4" x14ac:dyDescent="0.2">
      <c r="B16" s="19">
        <v>300</v>
      </c>
      <c r="C16" s="20">
        <v>7000000</v>
      </c>
    </row>
    <row r="17" spans="2:2" x14ac:dyDescent="0.2">
      <c r="B17" s="21"/>
    </row>
  </sheetData>
  <mergeCells count="1">
    <mergeCell ref="D6:D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Savings Summary</vt:lpstr>
      <vt:lpstr>Vendor Streamlining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Ryan Lynch</cp:lastModifiedBy>
  <cp:revision>0</cp:revision>
  <dcterms:created xsi:type="dcterms:W3CDTF">2026-06-09T17:12:51Z</dcterms:created>
  <dcterms:modified xsi:type="dcterms:W3CDTF">2026-06-11T16:19:10Z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